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TG21_mach_nut_nhan-_V1\Documents\BOM\"/>
    </mc:Choice>
  </mc:AlternateContent>
  <xr:revisionPtr revIDLastSave="0" documentId="13_ncr:1_{4B220404-2C25-4454-B407-744BA24998C0}" xr6:coauthVersionLast="47" xr6:coauthVersionMax="47" xr10:uidLastSave="{00000000-0000-0000-0000-000000000000}"/>
  <bookViews>
    <workbookView xWindow="-108" yWindow="-108" windowWidth="23256" windowHeight="12576" xr2:uid="{8AD4E873-F8EA-49E6-9DC9-4F0FD96F1F0E}"/>
  </bookViews>
  <sheets>
    <sheet name="TG21_mach_nut_nhan _V1_ReV" sheetId="1" r:id="rId1"/>
  </sheets>
  <definedNames>
    <definedName name="_xlnm.Print_Titles" localSheetId="0">'TG21_mach_nut_nhan _V1_ReV'!$1:$1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2" i="1"/>
</calcChain>
</file>

<file path=xl/sharedStrings.xml><?xml version="1.0" encoding="utf-8"?>
<sst xmlns="http://schemas.openxmlformats.org/spreadsheetml/2006/main" count="430" uniqueCount="252">
  <si>
    <t>Comment</t>
  </si>
  <si>
    <t>Type</t>
  </si>
  <si>
    <t>Description</t>
  </si>
  <si>
    <t>Quantity</t>
  </si>
  <si>
    <t>LogicalDesignator</t>
  </si>
  <si>
    <t>Mfr. Part #</t>
  </si>
  <si>
    <t>Manufacturer</t>
  </si>
  <si>
    <t>Category</t>
  </si>
  <si>
    <t>Unit</t>
  </si>
  <si>
    <t>Assembly</t>
  </si>
  <si>
    <t>ComponentLink1URL</t>
  </si>
  <si>
    <t>BUTTON</t>
  </si>
  <si>
    <t/>
  </si>
  <si>
    <t>BT1, BT2, BT3, BT4, BT5, BT6, BT7, BT8, BT9, BT10, BT11, BT12, BT13, BT14, BT15, BT16, BT17, BT18, BT19, BT20, BT21, BT22, BT23, BT24, BT25, BT26, BT27, BT28, BT29, BT30, BT31, BT32, BT33, BT34, BT35, BT36, BT37, BT38, BT39, BT40, BT41, BT42, BT43, BT44, BT45, BT46, BT47, BT48, BT49, BT50, BT51, BT52, BT53, BT54, BT55, BT56, BT57, BT58, BT59, BT60, BT61, BT62, BT63, BT64, BT65, BT66, BT67, BT68, BT69, BT70, BT71, BT72, BT73, BT74, BT75, BT76, BT77, BT78, BT79, BT80, BT81, BT82, BT83, BT84, BT85, BT86, BT87, BT88, BT89, BT90, BT91</t>
  </si>
  <si>
    <t>100nF</t>
  </si>
  <si>
    <t>100nF ±10% 50V Ceramic Capacitor X7R 0603</t>
  </si>
  <si>
    <t>C1, C2, C3, C4, C5, C6, C7, C8, C9, C10, C11, C12, C13, C14, C15, C16, C17, C18, C19, C20, C21, C22, C23, C24, C25, C26, C34, C35, C36, C37, C38, C39, C40, C41, C42, C43, C46, C47, C50, C52, C58, C61, C64, C67, C69, C72, C74, C75, C77, C78, C80, C82, C83, C84, C85, C86, C89</t>
  </si>
  <si>
    <t>CC0603KRX7R9BB104</t>
  </si>
  <si>
    <t>YAGEO</t>
  </si>
  <si>
    <t>https://www.lcsc.com/product-detail/C14663.html?s_z=n_0603%2520100nF</t>
  </si>
  <si>
    <t>22uF/25V</t>
  </si>
  <si>
    <t>22uF ±10% 25V Ceramic Capacitor X7R 1210</t>
  </si>
  <si>
    <t>C27, C28, C29, C30, C31, C32, C33, C59, C63, C71, C73, C76, C87</t>
  </si>
  <si>
    <t>CL32B226KAJNNNE</t>
  </si>
  <si>
    <t>Samsung Electro-Mechanics</t>
  </si>
  <si>
    <t>https://www.lcsc.com/product-detail/C309062.html?s_z=n_22uF%25201210</t>
  </si>
  <si>
    <t>10uF 50V</t>
  </si>
  <si>
    <t>10uF ±10% 50V Ceramic Capacitor X7R 1210</t>
  </si>
  <si>
    <t>C44, C45, C48, C49</t>
  </si>
  <si>
    <t>CL32B106KBJNNNE</t>
  </si>
  <si>
    <t>https://www.lcsc.com/product-detail/C138687.html?s_z=n_1210%252010uF</t>
  </si>
  <si>
    <t>100pF</t>
  </si>
  <si>
    <t>100pF ±5% 50V Ceramic Capacitor C0G 0603</t>
  </si>
  <si>
    <t>C51, C54, C55, C56, C62</t>
  </si>
  <si>
    <t>CL10C101JB8NNNC</t>
  </si>
  <si>
    <t>https://www.lcsc.com/product-detail/C14858.html?s_z=n_100pF%25200603&amp;spm=wm.ssy.bg.0.xh&amp;lcsc_vid=FVcIBVBRElIPBFdUFgBYX10HEQJbUQVVQANfV1wFQQcxVlNRQ1RWV1NSQ1dXXjsOAxUeFF5JWBYZEEoKFBINSQcJGk4eFQsCAgIaSgADAwAHC0slRVheUFRSQU8GEwkK</t>
  </si>
  <si>
    <t>1uF</t>
  </si>
  <si>
    <t>1uF ±10% 50V Ceramic Capacitor X5R 0603</t>
  </si>
  <si>
    <t>C53, C79, C88</t>
  </si>
  <si>
    <t>CL10A105KB8NNNC</t>
  </si>
  <si>
    <t>https://www.lcsc.com/product-detail/C15849.html?s_z=n_1uF%25200603%25201%2525&amp;spm=wm.ssy.bg.0.xh&amp;lcsc_vid=FVcIBVBRElIPBFdUFgBYX10HEQJbUQVVQANfV1wFQQcxVlNRQlFeXlNXT1hdUDsOAxUeFF5JWBYZEEoKFBINSQcJGk4%3D</t>
  </si>
  <si>
    <t>10nF</t>
  </si>
  <si>
    <t>10nF ±10% 50V Ceramic Capacitor X7R 0603</t>
  </si>
  <si>
    <t>C57</t>
  </si>
  <si>
    <t>CC0603KRX7R9BB103</t>
  </si>
  <si>
    <t>https://www.lcsc.com/product-detail/C100042.html?s_z=n_0603%252010nF&amp;spm=wm.ssy.bg.0.xh&amp;lcsc_vid=FVcIBVBRElIPBFdUFgBYX10HEQJbUQVVQANfV1wFQQcxVlNRQlFfVVBSRVNYXjsOAxUeFF5JWBYZEEoKFBINSQcJGk4eFQsCAgIaSgADAwAHC0slRFFaV1JQWQkaCgg%3D</t>
  </si>
  <si>
    <t>1000uF/35V</t>
  </si>
  <si>
    <t>Capacitor</t>
  </si>
  <si>
    <t>1000uF 35V Aluminum Electrolytic Capacitors Through Hole,D10xL20mm 2000hrs@105℃</t>
  </si>
  <si>
    <t>C60, C68</t>
  </si>
  <si>
    <t>35PX1000MEFC10X20</t>
  </si>
  <si>
    <t>Rubycon</t>
  </si>
  <si>
    <t>https://www.lcsc.com/product-detail/C136014.html?s_z=n_35V%25201000uF%2520rubycon</t>
  </si>
  <si>
    <t>22uF 25V</t>
  </si>
  <si>
    <t>C65, C66</t>
  </si>
  <si>
    <t>33pF</t>
  </si>
  <si>
    <t>33pF ±5% 50V Ceramic Capacitor NP0 0603</t>
  </si>
  <si>
    <t>C70</t>
  </si>
  <si>
    <t>CC0603JRNPO9BN330</t>
  </si>
  <si>
    <t>https://www.lcsc.com/product-detail/C107047.html?s_z=n_33pF%25200603&amp;spm=wm.ssy.bg.0.xh&amp;lcsc_vid=FVcIBVBRElIPBFdUFgBYX10HEQJbUQVVQANfV1wFQQcxVlNRQ1RWV1xeR1ZZUTsOAxUeFF5JWBYZEEoKFBINSQcJGk4dAgUUFAk%3D</t>
  </si>
  <si>
    <t>22pF</t>
  </si>
  <si>
    <t>22pF ±5% 50V Ceramic Capacitor C0G 0603</t>
  </si>
  <si>
    <t>C81, C90</t>
  </si>
  <si>
    <t>CL10C220JB8NNNC</t>
  </si>
  <si>
    <t>https://www.lcsc.com/product-detail/C1653.html?s_z=n_22pF%252050V%25200603</t>
  </si>
  <si>
    <t>B560C</t>
  </si>
  <si>
    <t>Voltage： 60V Current： 5A</t>
  </si>
  <si>
    <t>D1, D2</t>
  </si>
  <si>
    <t>B560C-13-F</t>
  </si>
  <si>
    <t>DIODES</t>
  </si>
  <si>
    <t>https://www.lcsc.com/product-detail/C85100.html?s_z=n_B560C</t>
  </si>
  <si>
    <t>1A 6V</t>
  </si>
  <si>
    <t>Fuse</t>
  </si>
  <si>
    <t>Polymeric PTC Resettable Fuse 6V 1A Surface Mount 1206</t>
  </si>
  <si>
    <t>F1</t>
  </si>
  <si>
    <t>BSMD1206-100-6V</t>
  </si>
  <si>
    <t>BHFUSE</t>
  </si>
  <si>
    <t>https://www.lcsc.com/product-detail/C883129.html?s_z=n_q_Resettable%2520Fuse%25206V%25201A%25201206&amp;spm=wm.fly.bg.0.xh&amp;lcsc_vid=QQBdBlYAQFFWUgBXTlUPAgFQQQIIBQIHEQIPAgJRQFAxVlNRT1daVVdeT1JfUzsOAxUeFF5JWBYZEEoKFBINSQcJGk4NBhADEA4cHktXRVZADxALGw%3D%3D</t>
  </si>
  <si>
    <t>XY-XH2.54-4PZZ</t>
  </si>
  <si>
    <t>Header</t>
  </si>
  <si>
    <t>XH 1 4P -25℃~+85℃ 2.54mm 4 2A 250V 1x4P Through Hole,P=2.54mm Headers, Male Pins RoHS</t>
  </si>
  <si>
    <t>H1, H2, H3, H4, H7</t>
  </si>
  <si>
    <t>XYECONN</t>
  </si>
  <si>
    <t>https://www.lcsc.com/product-detail/C53201003.html?s_z=n_XH2.54%25204P</t>
  </si>
  <si>
    <t>XT30PW-M30.G.Y</t>
  </si>
  <si>
    <t>AMASS XT30PW-M30.G.Y</t>
  </si>
  <si>
    <t>H5</t>
  </si>
  <si>
    <t>Changzhou Amass Elec</t>
  </si>
  <si>
    <t>https://www.lcsc.com/product-detail/C431092.html?s_z=n_q_xt30pw&amp;spm=wm.fly.bg.0.xh&amp;lcsc_vid=QQBdBlYAQFFWUgBXTlUPAgFQQQIIBQIHEQIPAgJRQFAxVlNRT1ddX1xWQlNaUzsOAxUeFF5JWBYZEEoKFBINSQcJGk4eFQsCAgIaSgADAwAHC0slQllfX11TQk8GEwkK</t>
  </si>
  <si>
    <t>Header 7P 2.54 Duc Thang</t>
  </si>
  <si>
    <t>Cắm</t>
  </si>
  <si>
    <t>H6</t>
  </si>
  <si>
    <t>10uH</t>
  </si>
  <si>
    <t>5.4A 10uH 21.6mΩ ±20% SMD,12.2x12.2mm Fixed Inductors RoHS</t>
  </si>
  <si>
    <t>L1, L2</t>
  </si>
  <si>
    <t>CDRH127N-100M</t>
  </si>
  <si>
    <t>MINGSTAR</t>
  </si>
  <si>
    <t>http://lcsc.com/product-detail/C2832085.html?s_z=n_CDRH127</t>
  </si>
  <si>
    <t>E32 - 433T30D</t>
  </si>
  <si>
    <t>Module</t>
  </si>
  <si>
    <t>8km UART Through Hole RF Transceiver Modules and Modems RoHS</t>
  </si>
  <si>
    <t>M1</t>
  </si>
  <si>
    <t>E32-433T30D</t>
  </si>
  <si>
    <t>EBYTE</t>
  </si>
  <si>
    <t>https://www.lcsc.com/product-detail/C97351.html?s_z=n_E32%2520433T30D</t>
  </si>
  <si>
    <t>SI2308A</t>
  </si>
  <si>
    <t>Mosfet</t>
  </si>
  <si>
    <t>N-Channel 60V 3A 1.25W Surface Mount SOT-23</t>
  </si>
  <si>
    <t>Q1, Q2, Q3, Q4, Q5, Q6, Q7, Q8, Q9, Q10, Q11, Q12, Q13, Q14, Q15, Q16, Q17, Q18, Q19, Q20, Q21, Q22, Q23, Q24, Q25, Q26, Q27, Q28, Q29, Q30, Q31, Q32, Q33, Q34, Q35, Q36, Q37, Q38, Q39, Q40, Q41, Q42, Q43, Q44, Q45, Q46, Q47, Q48, Q49, Q50, Q51, Q52, Q53, Q54, Q55, Q56, Q57, Q58, Q59, Q60, Q61, Q62, Q63, Q64, Q65, Q66, Q67, Q68, Q69, Q70, Q71, Q72, Q73, Q74, Q75, Q76, Q77, Q78, Q79, Q80, Q81, Q82, Q83, Q84, Q85, Q86, Q87, Q88, Q89, Q90, Q91</t>
  </si>
  <si>
    <t>UMW</t>
  </si>
  <si>
    <t>Pcs</t>
  </si>
  <si>
    <t>SMT</t>
  </si>
  <si>
    <t>https://www.lcsc.com/product-detail/C347491.html?s_z=n_q_si2308&amp;spm=wm.fly.bg.1.xh&amp;lcsc_vid=Q1VfX1ReRFFaUFJSRgIIUV0CFFgIBFJfT1hdVlwEEVkxVlNRT1daUlxeQlReVzsOAxUeFF5JWBYZEEoKFBINSQcJGk4NBhADEA4cHktXQFFADxALGw%3D%3D</t>
  </si>
  <si>
    <t>TPH3R70APL</t>
  </si>
  <si>
    <t>Q92</t>
  </si>
  <si>
    <t>TOSHIBA</t>
  </si>
  <si>
    <t>https://www.lcsc.com/product-detail/C556308.html?s_z=n_tph3R70</t>
  </si>
  <si>
    <t>MMBT2222A SOT23</t>
  </si>
  <si>
    <t>Bipolar (BJT) Transistor NPN 20V 350mA 300MHz 300mW Surface Mount SOT-23</t>
  </si>
  <si>
    <t>Q93, Q95</t>
  </si>
  <si>
    <t>MMBT2222A</t>
  </si>
  <si>
    <t>JSMSEMI</t>
  </si>
  <si>
    <t>https://www.lcsc.com/product-detail/C916372.html?s_z=n_mmbt222&amp;spm=wm.ssy.bg.4.xh&amp;lcsc_vid=FVcIBVBRElIPBFdUFgBYX10HEQJbUQVVQANfV1wFQQcxVlNRQ1hYVFJVRlldXjsOAxUeFF5JWBYZEEoKFBINSQcJGk4dAgUUFAk%3D</t>
  </si>
  <si>
    <t>IRFR5410</t>
  </si>
  <si>
    <t>P-Channel 100V 13A 66W Surface Mount DPAK(TO-252AA)</t>
  </si>
  <si>
    <t>Q94</t>
  </si>
  <si>
    <t>IRFR5410TRPBF</t>
  </si>
  <si>
    <t>Infineon</t>
  </si>
  <si>
    <t>https://www.lcsc.com/product-detail/C3018.html?s_z=n_IRFR5410TRPBF</t>
  </si>
  <si>
    <t>220R</t>
  </si>
  <si>
    <t>100mW 220Ω 75V Thick Film Resistor ±1% ±100ppm/℃ 0603 Chip Resistor - Surface Mount RoHS</t>
  </si>
  <si>
    <t>R1, R2, R3, R4, R5, R6, R7, R8, R9, R10, R11, R12, R13, R27, R28, R29, R30, R31, R32, R33, R34, R35, R36, R37, R38, R39, R53, R54, R55, R56, R57, R58, R59, R60, R61, R62, R63, R64, R65, R79, R80, R81, R82, R83, R84, R85, R86, R87, R88, R89, R90, R91, R105, R106, R107, R108, R109, R110, R111, R112, R113, R114, R115, R116, R117, R131, R132, R133, R134, R135, R136, R137, R138, R139, R140, R141, R142, R143, R157, R158, R159, R160, R161, R162, R163, R164, R165, R166, R167, R168, R169</t>
  </si>
  <si>
    <t>CRCW0603220RFKEAHP</t>
  </si>
  <si>
    <t>VISHAY</t>
  </si>
  <si>
    <t>https://www.lcsc.com/product-detail/C313707.html?s_z=n_0603%2520220R</t>
  </si>
  <si>
    <t>10K</t>
  </si>
  <si>
    <t>100mW 10kΩ 75V Thick Film Resistor ±1% ±100ppm/℃ 0603 Chip Resistor - Surface Mount RoHS</t>
  </si>
  <si>
    <t>R14, R15, R16, R17, R18, R19, R20, R21, R22, R23, R24, R25, R26, R40, R41, R42, R43, R44, R45, R46, R47, R48, R49, R50, R51, R52, R66, R67, R68, R69, R70, R71, R72, R73, R74, R75, R76, R77, R78, R92, R93, R94, R95, R96, R97, R98, R99, R100, R101, R102, R103, R104, R118, R119, R120, R121, R122, R123, R124, R125, R126, R127, R128, R129, R130, R144, R145, R146, R147, R148, R149, R150, R151, R152, R153, R154, R155, R156, R170, R171, R172, R173, R174, R175, R176, R177, R178, R179, R180, R181, R182, R183, R184, R185, R186, R187, R188, R189, R190, R191, R192, R193, R194, R195, R196, R198, R205, R207, R213, R215, R218, R222, R223, R224</t>
  </si>
  <si>
    <t>CRCW060310K0FKEA</t>
  </si>
  <si>
    <t>https://www.lcsc.com/product-detail/C844918.html?s_z=n_10K</t>
  </si>
  <si>
    <t>R197, R199, R200</t>
  </si>
  <si>
    <t>100K</t>
  </si>
  <si>
    <t>100mW 100KΩ 75V Thick Film Resistor ±1% ±100ppm/℃ 0603 Chip Resistor - Surface Mount RoHS</t>
  </si>
  <si>
    <t>R201, R206</t>
  </si>
  <si>
    <t>FRC0603F1003TS</t>
  </si>
  <si>
    <t>FOJAN</t>
  </si>
  <si>
    <t>https://www.lcsc.com/product-detail/C2906980.html?s_z=n_0603%25201%2525%2520100K</t>
  </si>
  <si>
    <t>150K</t>
  </si>
  <si>
    <t>100mW 150KΩ 75V Thick Film Resistor ±1% ±100ppm/℃ 0603 Chip Resistor - Surface Mount RoHS</t>
  </si>
  <si>
    <t>R202, R211, R214</t>
  </si>
  <si>
    <t>0603WAF1503T5E</t>
  </si>
  <si>
    <t>UNI-ROYAL</t>
  </si>
  <si>
    <t>https://www.lcsc.com/product-detail/C22807.html?s_z=n_0603%25201%2525%2520150K</t>
  </si>
  <si>
    <t>2.2R</t>
  </si>
  <si>
    <t>100mW 2.2Ω 75V Thick Film Resistor ±1% ±100ppm/℃ 0603 Chip Resistor - Surface Mount RoHS</t>
  </si>
  <si>
    <t>R203, R220</t>
  </si>
  <si>
    <t>FRC0805F2R20TS</t>
  </si>
  <si>
    <t>https://www.lcsc.com/product-detail/C2933402.html?s_z=n_2.2R%25201%2525&amp;spm=wm.ssy.bg.6.xh&amp;lcsc_vid=FVcIBVBRElIPBFdUFgBYX10HEQJbUQVVQANfV1wFQQcxVlNRQ1hYUFNVRlVWUzsOAxUeFF5JWBYZEEoKFBINSQcJGk4dAgUUFAk%3D</t>
  </si>
  <si>
    <t>1K</t>
  </si>
  <si>
    <t>100mW 1kΩ 75V Thick Film Resistor ±1% ±100ppm/℃ 0603 Chip Resistor - Surface Mount RoHS</t>
  </si>
  <si>
    <t>R204, R216, R217, R221</t>
  </si>
  <si>
    <t>CRCW06031K00FKEA</t>
  </si>
  <si>
    <t>https://www.lcsc.com/product-detail/C844920.html?s_z=n_0603%25201K</t>
  </si>
  <si>
    <t>3K</t>
  </si>
  <si>
    <t>Resistor</t>
  </si>
  <si>
    <t>3kΩ ±1% 100mW 0603 Thick Film Resistor</t>
  </si>
  <si>
    <t>R208</t>
  </si>
  <si>
    <t>0805W8F7503T5E</t>
  </si>
  <si>
    <t>https://www.lcsc.com/product-detail/C2907033.html?s_z=n_3K%25201%2525%25200603&amp;spm=wm.ssy.bg.0.xh&amp;lcsc_vid=FVcIBVBRElIPBFdUFgBYX10HEQJbUQVVQANfV1wFQQcxVlNRQVBYUlZWRlRaUjsOAxUeFF5JWBYZEEoKFBINSQcJGk4dAgUUFAk%3D</t>
  </si>
  <si>
    <t>30K</t>
  </si>
  <si>
    <t>30kΩ ±1% 100mW 0603 Thick Film Resistor</t>
  </si>
  <si>
    <t>R209</t>
  </si>
  <si>
    <t>FRC0603F3002TS</t>
  </si>
  <si>
    <t>https://www.lcsc.com/product-detail/C2907025.html?s_z=n_q_t_0603%252030K&amp;spm=wm.fly.bg.0.xh___wm.ssy.tc.0.tz&amp;lcsc_vid=QQBdBlYAQFFWUgBXTlUPAgFQQQIIBQIHEQIPAgJRQFAxVlNRT1daV1JVTlhbUzsOAxUeFF5JWBYZEEoKFBINSQcJGk4dAgUUFAk%3D</t>
  </si>
  <si>
    <t>5.6K</t>
  </si>
  <si>
    <t>100mW 5.6KΩ 75V Thick Film Resistor ±1% ±100ppm/℃ 0603 Chip Resistor - Surface Mount RoHS</t>
  </si>
  <si>
    <t>R210, R212</t>
  </si>
  <si>
    <t>FRC0603F5601TS</t>
  </si>
  <si>
    <t>https://www.lcsc.com/product-detail/C2907046.html?s_z=n_5.6K%25200603&amp;spm=wm.ssy.bg.0.xh&amp;lcsc_vid=FVcIBVBRElIPBFdUFgBYX10HEQJbUQVVQANfV1wFQQcxVlNRQ1RWV1FeQVlfVDsOAxUeFF5JWBYZEEoKFBINSQcJGk4eFQsCAgIaSgADAwAHC0slQ1VdUFNIHxUDCw%3D%3D</t>
  </si>
  <si>
    <t>220K</t>
  </si>
  <si>
    <t>100mW 220KΩ 75V Thick Film Resistor ±1% ±100ppm/℃ 0603 Chip Resistor - Surface Mount RoHS</t>
  </si>
  <si>
    <t>R219</t>
  </si>
  <si>
    <t>FRC0603F2203TS</t>
  </si>
  <si>
    <t>https://www.lcsc.com/product-detail/C2907013.html?s_z=n_0603%25201%2525%2520220K</t>
  </si>
  <si>
    <t>0R</t>
  </si>
  <si>
    <t>100mW 0Ω 75V Thick Film Resistor ±1% ±100ppm/℃ 0603 Chip Resistor - Surface Mount RoHS</t>
  </si>
  <si>
    <t>R225</t>
  </si>
  <si>
    <t>RC0603FR-070RL</t>
  </si>
  <si>
    <t>https://www.lcsc.com/product-detail/C100044.html?s_z=n_0R%25201%2525%25200603&amp;spm=wm.ssy.bg.1.xh&amp;lcsc_vid=FVcIBVBRElIPBFdUFgBYX10HEQJbUQVVQANfV1wFQQcxVlNRQ1RWVFVVRFVbUzsOAxUeFF5JWBYZEEoKFBINSQcJGk4dAgUUFAk%3D</t>
  </si>
  <si>
    <t>25mR 1W</t>
  </si>
  <si>
    <t>1W 25mΩ ±50ppm/℃ ±1% 1206 Chip Resistor - Surface Mount RoHS</t>
  </si>
  <si>
    <t>RSNS1</t>
  </si>
  <si>
    <t>JER1206F1R025</t>
  </si>
  <si>
    <t>JIERR</t>
  </si>
  <si>
    <t>https://www.lcsc.com/product-detail/C46634441.html?s_z=n_25mR%25201W&amp;spm=wm.ssy.bg.1.stp&amp;lcsc_vid=FVcIBVBRElIPBFdUFgBYX10HEQJbUQVVQANfV1wFQQcxVlNRQVBYVlFWT1lXVzsOAxUeFF5JWBYZEEoKFBINSQcJGk4eFQsCAgIaSgADAwAHC0slRlVZVVxIHxUDCw%3D%3D</t>
  </si>
  <si>
    <t>HX 3x6x2.5A-2.5N</t>
  </si>
  <si>
    <t>Switch</t>
  </si>
  <si>
    <t>Tactile Switch SPST 250gf 2.5mm SMD (SMT) Tab 6mm x 3.6mm Surface Mount</t>
  </si>
  <si>
    <t>SW1</t>
  </si>
  <si>
    <t>hanxia</t>
  </si>
  <si>
    <t>https://www.lcsc.com/product-detail/C36498960.html?s_z=n_q_p_3x6x2.5&amp;spm=wm.ssy.bg.0.xh&amp;lcsc_vid=QQBdBlYAQFFWUgBXTlUPAgFQQQIIBQIHEQIPAgJRQFAxVlNRT1daU1NWQVBbVTsOAxUeFF5JWBYZEEoKFBINSQcJGk4NBhADEA4cHktXRVZADxALGw%3D%3D</t>
  </si>
  <si>
    <t>74HC595 SMD</t>
  </si>
  <si>
    <t>IC</t>
  </si>
  <si>
    <t>2V~6V 1 100ns@5V,50pF Serial-to-Serial or Parallel SOP-16 Shift Registers RoHS</t>
  </si>
  <si>
    <t>U1, U2, U3, U4, U5, U6, U7, U8, U9, U10, U11, U12, U13</t>
  </si>
  <si>
    <t>74HC595</t>
  </si>
  <si>
    <t>GR</t>
  </si>
  <si>
    <t>https://www.lcsc.com/product-detail/C18164493.html?s_z=n_q_x_74hc595&amp;spm=wm.ssy.em.0.tz&amp;lcsc_vid=Q1VfX1ReRFFaUFJSRgIIUV0CFFgIBFJfT1hdVlwEEVkxVlNRT1ddX1RVRFFcVjsOAxUeFF5JWBYZEEoKFBINSQcJGk4%3D</t>
  </si>
  <si>
    <t>TPS40210</t>
  </si>
  <si>
    <t>1 MSOP-10-EP DC DC Switching Controllers RoHS</t>
  </si>
  <si>
    <t>U14</t>
  </si>
  <si>
    <t>TPS40210DGQR</t>
  </si>
  <si>
    <t>TI</t>
  </si>
  <si>
    <t>https://www.lcsc.com/product-detail/C14728.html?s_z=n_TPS40210&amp;spm=wm.ssy.bg.0.xh&amp;lcsc_vid=FVcIBVBRElIPBFdUFgBYX10HEQJbUQVVQANfV1wFQQcxVlNRQVBbX1FeRllYUDsOAxUeFF5JWBYZEEoKFBINSQcJGk4dAgUUFAk%3D</t>
  </si>
  <si>
    <t>TPS54360DDAR</t>
  </si>
  <si>
    <t>60V Input, 3.5A Output Step-Down DC-DC Converter</t>
  </si>
  <si>
    <t>U15</t>
  </si>
  <si>
    <t>https://www.lcsc.com/product-detail/C44377.html?s_z=n_tps54360&amp;spm=wm.ssy.bg.0.xh&amp;lcsc_vid=FVcIBVBRElIPBFdUFgBYX10HEQJbUQVVQANfV1wFQQcxVlNRQ1RWV1ZTTlRdVzsOAxUeFF5JWBYZEEoKFBINSQcJGk4dAgUUFAk%3D</t>
  </si>
  <si>
    <t>AMS1117-3.3V</t>
  </si>
  <si>
    <t>1.2A Fixed 3.3V Positive 15V SOT-223 Voltage Regulators - Linear, Low Drop Out (LDO) Regulators ROHS</t>
  </si>
  <si>
    <t>U16</t>
  </si>
  <si>
    <t>STM32F407xx-LQFP100</t>
  </si>
  <si>
    <t>U17</t>
  </si>
  <si>
    <t>8Mhz</t>
  </si>
  <si>
    <t>Crystal 8MHz ±20ppm 12pF SMD5032-4P</t>
  </si>
  <si>
    <t>X1</t>
  </si>
  <si>
    <t>5032 8M 12PF 20PPM 4P</t>
  </si>
  <si>
    <t>SOSET</t>
  </si>
  <si>
    <t>https://www.lcsc.com/product-detail/C5181482.html?s_z=n_5032%25208m</t>
  </si>
  <si>
    <t>Số lượng cần thiết gia công
(Quantity)</t>
  </si>
  <si>
    <t>Connector</t>
  </si>
  <si>
    <t>Transistor</t>
  </si>
  <si>
    <t>button</t>
  </si>
  <si>
    <t>MCU</t>
  </si>
  <si>
    <t>Osillator</t>
  </si>
  <si>
    <t>N-Channel 100V 90A 170W Surface Mount SO-8</t>
  </si>
  <si>
    <t>AMS1117-3.3</t>
  </si>
  <si>
    <t>FOSAN</t>
  </si>
  <si>
    <t>https://www.lcsc.com/product-detail/C20628883.html?s_z=n_q_p_asm1117-3.3&amp;spm=wm.ssy.bg.14.xh&amp;lcsc_vid=Q1VfX1ReRFFaUFJSRgIIUV0CFFgIBFJfT1hdVlwEEVkxVlNRT1hcU1VRTlVfUzsOAxUeFF5JWBYZEEoKFBINSQcJGk4eFQsCAgIaSgADAwAHC0slQlRYVFReWQkaCgg%3D</t>
  </si>
  <si>
    <t>JXTCONN</t>
  </si>
  <si>
    <t>A254F2L1-2W7P11</t>
  </si>
  <si>
    <t>https://www.lcsc.com/product-detail/C41409654.html?s_z=n_q_t_header%25207p&amp;spm=wm.fly.bg.78.xh___wm.ssy.tc.0.tz&amp;lcsc_vid=Q1VfX1ReRFFaUFJSRgIIUV0CFFgIBFJfT1hdVlwEEVkxVlNRT1hcU1dRT1JYVDsOAxUeFF5JWBYZEEoKFBINSQcJGk4eFQsCAgIaSgADAwAHC0slRVFYVVxeT1JADxALGw%3D%3D</t>
  </si>
  <si>
    <t>Díp Soldering</t>
  </si>
  <si>
    <t>22uF</t>
  </si>
  <si>
    <t>10uF</t>
  </si>
  <si>
    <t>1000uF</t>
  </si>
  <si>
    <t>https://www.lcsc.com/product-detail/C28730.html?s_z=n_q_t_stm32f407&amp;spm=wm.fly.bg.0.xh&amp;lcsc_vid=Q1VfX1ReRFFaUFJSRgIIUV0CFFgIBFJfT1hdVlwEEVkxVlNRT1hcUlVVT1BWVjsOAxUeFF5JWBYZEEoKFBINSQcJGk4dAgUUFAk%3D</t>
  </si>
  <si>
    <t>ST</t>
  </si>
  <si>
    <t>STM32F407VET6</t>
  </si>
  <si>
    <t>Header 7P</t>
  </si>
  <si>
    <t>Header 4P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</si>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</sst>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32D4-F167-46EE-AE80-A2B86102B76F}">
  <dimension ref="A1:L43"/>
  <sheetViews>
    <sheetView tabSelected="1" topLeftCell="A22" zoomScale="70" zoomScaleNormal="70" workbookViewId="0">
      <selection activeCell="H50" sqref="H50:H51"/>
    </sheetView>
  </sheetViews>
  <sheetFormatPr defaultRowHeight="14.4" x14ac:dyDescent="0.3"/>
  <cols>
    <col min="1" max="1" width="26.77734375" customWidth="1"/>
    <col min="2" max="2" width="20.109375" customWidth="1"/>
    <col min="3" max="3" width="16" customWidth="1"/>
    <col min="4" max="4" width="19" hidden="1" customWidth="1"/>
    <col min="5" max="6" width="19" customWidth="1"/>
    <col min="7" max="7" width="24.6640625" customWidth="1"/>
    <col min="8" max="8" width="27.109375" customWidth="1"/>
    <col min="9" max="9" width="26.5546875" customWidth="1"/>
    <col min="10" max="11" width="16" customWidth="1"/>
    <col min="12" max="12" width="16" style="10" customWidth="1"/>
  </cols>
  <sheetData>
    <row r="1" spans="1:12" s="3" customFormat="1" ht="46.8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2" t="s">
        <v>229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L1" s="7" t="s">
        <v>10</v>
      </c>
    </row>
    <row r="2" spans="1:12" s="6" customFormat="1" x14ac:dyDescent="0.3">
      <c r="A2" s="4" t="s">
        <v>11</v>
      </c>
      <c r="B2" s="5" t="s">
        <v>251</v>
      </c>
      <c r="C2" s="5" t="s">
        <v>232</v>
      </c>
      <c r="D2" s="4" t="s">
        <v>12</v>
      </c>
      <c r="E2" s="5">
        <v>91</v>
      </c>
      <c r="F2" s="5">
        <f>E2*5</f>
        <v>455</v>
      </c>
      <c r="G2" s="4" t="s">
        <v>13</v>
      </c>
      <c r="H2" s="5"/>
      <c r="I2" s="4" t="s">
        <v>12</v>
      </c>
      <c r="J2" s="5" t="s">
        <v>110</v>
      </c>
      <c r="K2" s="5" t="s">
        <v>242</v>
      </c>
      <c r="L2" s="8" t="s">
        <v>12</v>
      </c>
    </row>
    <row r="3" spans="1:12" s="6" customFormat="1" x14ac:dyDescent="0.3">
      <c r="A3" s="4" t="s">
        <v>14</v>
      </c>
      <c r="B3" s="5" t="s">
        <v>14</v>
      </c>
      <c r="C3" s="5" t="s">
        <v>47</v>
      </c>
      <c r="D3" s="4" t="s">
        <v>15</v>
      </c>
      <c r="E3" s="5">
        <v>57</v>
      </c>
      <c r="F3" s="5">
        <f t="shared" ref="F3:F43" si="0">E3*5</f>
        <v>285</v>
      </c>
      <c r="G3" s="4" t="s">
        <v>16</v>
      </c>
      <c r="H3" s="4" t="s">
        <v>17</v>
      </c>
      <c r="I3" s="4" t="s">
        <v>18</v>
      </c>
      <c r="J3" s="5" t="s">
        <v>110</v>
      </c>
      <c r="K3" s="5" t="s">
        <v>111</v>
      </c>
      <c r="L3" s="8" t="s">
        <v>19</v>
      </c>
    </row>
    <row r="4" spans="1:12" s="6" customFormat="1" x14ac:dyDescent="0.3">
      <c r="A4" s="4" t="s">
        <v>20</v>
      </c>
      <c r="B4" s="5" t="s">
        <v>243</v>
      </c>
      <c r="C4" s="5" t="s">
        <v>47</v>
      </c>
      <c r="D4" s="4" t="s">
        <v>21</v>
      </c>
      <c r="E4" s="5">
        <v>13</v>
      </c>
      <c r="F4" s="5">
        <f t="shared" si="0"/>
        <v>65</v>
      </c>
      <c r="G4" s="4" t="s">
        <v>22</v>
      </c>
      <c r="H4" s="4" t="s">
        <v>23</v>
      </c>
      <c r="I4" s="4" t="s">
        <v>24</v>
      </c>
      <c r="J4" s="5" t="s">
        <v>110</v>
      </c>
      <c r="K4" s="5" t="s">
        <v>111</v>
      </c>
      <c r="L4" s="8" t="s">
        <v>25</v>
      </c>
    </row>
    <row r="5" spans="1:12" s="6" customFormat="1" x14ac:dyDescent="0.3">
      <c r="A5" s="4" t="s">
        <v>26</v>
      </c>
      <c r="B5" s="5" t="s">
        <v>244</v>
      </c>
      <c r="C5" s="5" t="s">
        <v>47</v>
      </c>
      <c r="D5" s="4" t="s">
        <v>27</v>
      </c>
      <c r="E5" s="5">
        <v>4</v>
      </c>
      <c r="F5" s="5">
        <f t="shared" si="0"/>
        <v>20</v>
      </c>
      <c r="G5" s="4" t="s">
        <v>28</v>
      </c>
      <c r="H5" s="4" t="s">
        <v>29</v>
      </c>
      <c r="I5" s="4" t="s">
        <v>24</v>
      </c>
      <c r="J5" s="5" t="s">
        <v>110</v>
      </c>
      <c r="K5" s="5" t="s">
        <v>111</v>
      </c>
      <c r="L5" s="8" t="s">
        <v>30</v>
      </c>
    </row>
    <row r="6" spans="1:12" s="6" customFormat="1" x14ac:dyDescent="0.3">
      <c r="A6" s="4" t="s">
        <v>31</v>
      </c>
      <c r="B6" s="5" t="s">
        <v>31</v>
      </c>
      <c r="C6" s="5" t="s">
        <v>47</v>
      </c>
      <c r="D6" s="4" t="s">
        <v>32</v>
      </c>
      <c r="E6" s="5">
        <v>5</v>
      </c>
      <c r="F6" s="5">
        <f t="shared" si="0"/>
        <v>25</v>
      </c>
      <c r="G6" s="4" t="s">
        <v>33</v>
      </c>
      <c r="H6" s="4" t="s">
        <v>34</v>
      </c>
      <c r="I6" s="4" t="s">
        <v>24</v>
      </c>
      <c r="J6" s="5" t="s">
        <v>110</v>
      </c>
      <c r="K6" s="5" t="s">
        <v>111</v>
      </c>
      <c r="L6" s="8" t="s">
        <v>35</v>
      </c>
    </row>
    <row r="7" spans="1:12" s="6" customFormat="1" x14ac:dyDescent="0.3">
      <c r="A7" s="4" t="s">
        <v>36</v>
      </c>
      <c r="B7" s="5" t="s">
        <v>36</v>
      </c>
      <c r="C7" s="5" t="s">
        <v>47</v>
      </c>
      <c r="D7" s="4" t="s">
        <v>37</v>
      </c>
      <c r="E7" s="5">
        <v>3</v>
      </c>
      <c r="F7" s="5">
        <f t="shared" si="0"/>
        <v>15</v>
      </c>
      <c r="G7" s="4" t="s">
        <v>38</v>
      </c>
      <c r="H7" s="4" t="s">
        <v>39</v>
      </c>
      <c r="I7" s="4" t="s">
        <v>24</v>
      </c>
      <c r="J7" s="5" t="s">
        <v>110</v>
      </c>
      <c r="K7" s="5" t="s">
        <v>111</v>
      </c>
      <c r="L7" s="8" t="s">
        <v>40</v>
      </c>
    </row>
    <row r="8" spans="1:12" s="6" customFormat="1" x14ac:dyDescent="0.3">
      <c r="A8" s="4" t="s">
        <v>41</v>
      </c>
      <c r="B8" s="5" t="s">
        <v>41</v>
      </c>
      <c r="C8" s="5" t="s">
        <v>47</v>
      </c>
      <c r="D8" s="4" t="s">
        <v>42</v>
      </c>
      <c r="E8" s="5">
        <v>1</v>
      </c>
      <c r="F8" s="5">
        <f t="shared" si="0"/>
        <v>5</v>
      </c>
      <c r="G8" s="4" t="s">
        <v>43</v>
      </c>
      <c r="H8" s="4" t="s">
        <v>44</v>
      </c>
      <c r="I8" s="4" t="s">
        <v>18</v>
      </c>
      <c r="J8" s="5" t="s">
        <v>110</v>
      </c>
      <c r="K8" s="5" t="s">
        <v>111</v>
      </c>
      <c r="L8" s="8" t="s">
        <v>45</v>
      </c>
    </row>
    <row r="9" spans="1:12" s="6" customFormat="1" x14ac:dyDescent="0.3">
      <c r="A9" s="4" t="s">
        <v>46</v>
      </c>
      <c r="B9" s="5" t="s">
        <v>245</v>
      </c>
      <c r="C9" s="4" t="s">
        <v>47</v>
      </c>
      <c r="D9" s="4" t="s">
        <v>48</v>
      </c>
      <c r="E9" s="5">
        <v>2</v>
      </c>
      <c r="F9" s="5">
        <f t="shared" si="0"/>
        <v>10</v>
      </c>
      <c r="G9" s="4" t="s">
        <v>49</v>
      </c>
      <c r="H9" s="4" t="s">
        <v>50</v>
      </c>
      <c r="I9" s="4" t="s">
        <v>51</v>
      </c>
      <c r="J9" s="5" t="s">
        <v>110</v>
      </c>
      <c r="K9" s="5" t="s">
        <v>242</v>
      </c>
      <c r="L9" s="8" t="s">
        <v>52</v>
      </c>
    </row>
    <row r="10" spans="1:12" s="6" customFormat="1" x14ac:dyDescent="0.3">
      <c r="A10" s="4" t="s">
        <v>53</v>
      </c>
      <c r="B10" s="5" t="s">
        <v>243</v>
      </c>
      <c r="C10" s="4" t="s">
        <v>47</v>
      </c>
      <c r="D10" s="4" t="s">
        <v>21</v>
      </c>
      <c r="E10" s="5">
        <v>2</v>
      </c>
      <c r="F10" s="5">
        <f t="shared" si="0"/>
        <v>10</v>
      </c>
      <c r="G10" s="4" t="s">
        <v>54</v>
      </c>
      <c r="H10" s="4" t="s">
        <v>23</v>
      </c>
      <c r="I10" s="4" t="s">
        <v>24</v>
      </c>
      <c r="J10" s="5" t="s">
        <v>110</v>
      </c>
      <c r="K10" s="5" t="s">
        <v>111</v>
      </c>
      <c r="L10" s="8" t="s">
        <v>25</v>
      </c>
    </row>
    <row r="11" spans="1:12" s="6" customFormat="1" x14ac:dyDescent="0.3">
      <c r="A11" s="4" t="s">
        <v>55</v>
      </c>
      <c r="B11" s="5" t="s">
        <v>55</v>
      </c>
      <c r="C11" s="4" t="s">
        <v>47</v>
      </c>
      <c r="D11" s="4" t="s">
        <v>56</v>
      </c>
      <c r="E11" s="5">
        <v>1</v>
      </c>
      <c r="F11" s="5">
        <f t="shared" si="0"/>
        <v>5</v>
      </c>
      <c r="G11" s="4" t="s">
        <v>57</v>
      </c>
      <c r="H11" s="4" t="s">
        <v>58</v>
      </c>
      <c r="I11" s="4" t="s">
        <v>18</v>
      </c>
      <c r="J11" s="5" t="s">
        <v>110</v>
      </c>
      <c r="K11" s="5" t="s">
        <v>111</v>
      </c>
      <c r="L11" s="8" t="s">
        <v>59</v>
      </c>
    </row>
    <row r="12" spans="1:12" s="6" customFormat="1" x14ac:dyDescent="0.3">
      <c r="A12" s="4" t="s">
        <v>60</v>
      </c>
      <c r="B12" s="5" t="s">
        <v>60</v>
      </c>
      <c r="C12" s="4" t="s">
        <v>47</v>
      </c>
      <c r="D12" s="4" t="s">
        <v>61</v>
      </c>
      <c r="E12" s="5">
        <v>2</v>
      </c>
      <c r="F12" s="5">
        <f t="shared" si="0"/>
        <v>10</v>
      </c>
      <c r="G12" s="4" t="s">
        <v>62</v>
      </c>
      <c r="H12" s="4" t="s">
        <v>63</v>
      </c>
      <c r="I12" s="4" t="s">
        <v>24</v>
      </c>
      <c r="J12" s="5" t="s">
        <v>110</v>
      </c>
      <c r="K12" s="5" t="s">
        <v>111</v>
      </c>
      <c r="L12" s="8" t="s">
        <v>64</v>
      </c>
    </row>
    <row r="13" spans="1:12" s="6" customFormat="1" x14ac:dyDescent="0.3">
      <c r="A13" s="4" t="s">
        <v>65</v>
      </c>
      <c r="B13" s="5" t="s">
        <v>65</v>
      </c>
      <c r="C13" s="5" t="s">
        <v>231</v>
      </c>
      <c r="D13" s="4" t="s">
        <v>66</v>
      </c>
      <c r="E13" s="5">
        <v>2</v>
      </c>
      <c r="F13" s="5">
        <f t="shared" si="0"/>
        <v>10</v>
      </c>
      <c r="G13" s="4" t="s">
        <v>67</v>
      </c>
      <c r="H13" s="4" t="s">
        <v>68</v>
      </c>
      <c r="I13" s="4" t="s">
        <v>69</v>
      </c>
      <c r="J13" s="5" t="s">
        <v>110</v>
      </c>
      <c r="K13" s="5" t="s">
        <v>111</v>
      </c>
      <c r="L13" s="8" t="s">
        <v>70</v>
      </c>
    </row>
    <row r="14" spans="1:12" s="6" customFormat="1" x14ac:dyDescent="0.3">
      <c r="A14" s="4" t="s">
        <v>71</v>
      </c>
      <c r="B14" s="5" t="s">
        <v>71</v>
      </c>
      <c r="C14" s="4" t="s">
        <v>72</v>
      </c>
      <c r="D14" s="4" t="s">
        <v>73</v>
      </c>
      <c r="E14" s="5">
        <v>1</v>
      </c>
      <c r="F14" s="5">
        <f t="shared" si="0"/>
        <v>5</v>
      </c>
      <c r="G14" s="4" t="s">
        <v>74</v>
      </c>
      <c r="H14" s="4" t="s">
        <v>75</v>
      </c>
      <c r="I14" s="4" t="s">
        <v>76</v>
      </c>
      <c r="J14" s="5" t="s">
        <v>110</v>
      </c>
      <c r="K14" s="5" t="s">
        <v>111</v>
      </c>
      <c r="L14" s="8" t="s">
        <v>77</v>
      </c>
    </row>
    <row r="15" spans="1:12" s="6" customFormat="1" x14ac:dyDescent="0.3">
      <c r="A15" s="4" t="s">
        <v>78</v>
      </c>
      <c r="B15" s="5" t="s">
        <v>250</v>
      </c>
      <c r="C15" s="4" t="s">
        <v>79</v>
      </c>
      <c r="D15" s="4" t="s">
        <v>80</v>
      </c>
      <c r="E15" s="5">
        <v>5</v>
      </c>
      <c r="F15" s="5">
        <f t="shared" si="0"/>
        <v>25</v>
      </c>
      <c r="G15" s="4" t="s">
        <v>81</v>
      </c>
      <c r="H15" s="4" t="s">
        <v>78</v>
      </c>
      <c r="I15" s="4" t="s">
        <v>82</v>
      </c>
      <c r="J15" s="5" t="s">
        <v>110</v>
      </c>
      <c r="K15" s="5" t="s">
        <v>242</v>
      </c>
      <c r="L15" s="8" t="s">
        <v>83</v>
      </c>
    </row>
    <row r="16" spans="1:12" s="6" customFormat="1" x14ac:dyDescent="0.3">
      <c r="A16" s="4" t="s">
        <v>84</v>
      </c>
      <c r="B16" s="5" t="s">
        <v>84</v>
      </c>
      <c r="C16" s="4" t="s">
        <v>230</v>
      </c>
      <c r="D16" s="4" t="s">
        <v>85</v>
      </c>
      <c r="E16" s="5">
        <v>1</v>
      </c>
      <c r="F16" s="5">
        <f t="shared" si="0"/>
        <v>5</v>
      </c>
      <c r="G16" s="4" t="s">
        <v>86</v>
      </c>
      <c r="H16" s="4" t="s">
        <v>84</v>
      </c>
      <c r="I16" s="4" t="s">
        <v>87</v>
      </c>
      <c r="J16" s="5" t="s">
        <v>110</v>
      </c>
      <c r="K16" s="5" t="s">
        <v>242</v>
      </c>
      <c r="L16" s="8" t="s">
        <v>88</v>
      </c>
    </row>
    <row r="17" spans="1:12" s="6" customFormat="1" x14ac:dyDescent="0.3">
      <c r="A17" s="4" t="s">
        <v>89</v>
      </c>
      <c r="B17" s="5" t="s">
        <v>249</v>
      </c>
      <c r="C17" s="5" t="s">
        <v>79</v>
      </c>
      <c r="D17" s="4" t="s">
        <v>90</v>
      </c>
      <c r="E17" s="5">
        <v>1</v>
      </c>
      <c r="F17" s="5">
        <f t="shared" si="0"/>
        <v>5</v>
      </c>
      <c r="G17" s="4" t="s">
        <v>91</v>
      </c>
      <c r="H17" s="5" t="s">
        <v>240</v>
      </c>
      <c r="I17" s="5" t="s">
        <v>239</v>
      </c>
      <c r="J17" s="5" t="s">
        <v>110</v>
      </c>
      <c r="K17" s="5" t="s">
        <v>242</v>
      </c>
      <c r="L17" s="9" t="s">
        <v>241</v>
      </c>
    </row>
    <row r="18" spans="1:12" s="6" customFormat="1" x14ac:dyDescent="0.3">
      <c r="A18" s="4" t="s">
        <v>92</v>
      </c>
      <c r="B18" s="5" t="s">
        <v>92</v>
      </c>
      <c r="C18" s="5" t="s">
        <v>47</v>
      </c>
      <c r="D18" s="4" t="s">
        <v>93</v>
      </c>
      <c r="E18" s="5">
        <v>2</v>
      </c>
      <c r="F18" s="5">
        <f t="shared" si="0"/>
        <v>10</v>
      </c>
      <c r="G18" s="4" t="s">
        <v>94</v>
      </c>
      <c r="H18" s="4" t="s">
        <v>95</v>
      </c>
      <c r="I18" s="4" t="s">
        <v>96</v>
      </c>
      <c r="J18" s="5" t="s">
        <v>110</v>
      </c>
      <c r="K18" s="5" t="s">
        <v>111</v>
      </c>
      <c r="L18" s="8" t="s">
        <v>97</v>
      </c>
    </row>
    <row r="19" spans="1:12" s="6" customFormat="1" x14ac:dyDescent="0.3">
      <c r="A19" s="4" t="s">
        <v>98</v>
      </c>
      <c r="B19" s="4" t="s">
        <v>98</v>
      </c>
      <c r="C19" s="4" t="s">
        <v>99</v>
      </c>
      <c r="D19" s="4" t="s">
        <v>100</v>
      </c>
      <c r="E19" s="5">
        <v>1</v>
      </c>
      <c r="F19" s="5">
        <f t="shared" si="0"/>
        <v>5</v>
      </c>
      <c r="G19" s="4" t="s">
        <v>101</v>
      </c>
      <c r="H19" s="4" t="s">
        <v>102</v>
      </c>
      <c r="I19" s="4" t="s">
        <v>103</v>
      </c>
      <c r="J19" s="5" t="s">
        <v>110</v>
      </c>
      <c r="K19" s="5" t="s">
        <v>242</v>
      </c>
      <c r="L19" s="8" t="s">
        <v>104</v>
      </c>
    </row>
    <row r="20" spans="1:12" s="6" customFormat="1" x14ac:dyDescent="0.3">
      <c r="A20" s="4" t="s">
        <v>105</v>
      </c>
      <c r="B20" s="4" t="s">
        <v>105</v>
      </c>
      <c r="C20" s="4" t="s">
        <v>106</v>
      </c>
      <c r="D20" s="4" t="s">
        <v>107</v>
      </c>
      <c r="E20" s="5">
        <v>91</v>
      </c>
      <c r="F20" s="5">
        <f t="shared" si="0"/>
        <v>455</v>
      </c>
      <c r="G20" s="4" t="s">
        <v>108</v>
      </c>
      <c r="H20" s="4" t="s">
        <v>105</v>
      </c>
      <c r="I20" s="4" t="s">
        <v>109</v>
      </c>
      <c r="J20" s="5" t="s">
        <v>110</v>
      </c>
      <c r="K20" s="4" t="s">
        <v>111</v>
      </c>
      <c r="L20" s="8" t="s">
        <v>112</v>
      </c>
    </row>
    <row r="21" spans="1:12" s="6" customFormat="1" x14ac:dyDescent="0.3">
      <c r="A21" s="4" t="s">
        <v>113</v>
      </c>
      <c r="B21" s="5" t="s">
        <v>113</v>
      </c>
      <c r="C21" s="4" t="s">
        <v>106</v>
      </c>
      <c r="D21" s="5" t="s">
        <v>235</v>
      </c>
      <c r="E21" s="5">
        <v>1</v>
      </c>
      <c r="F21" s="5">
        <f t="shared" si="0"/>
        <v>5</v>
      </c>
      <c r="G21" s="4" t="s">
        <v>114</v>
      </c>
      <c r="H21" s="4" t="s">
        <v>113</v>
      </c>
      <c r="I21" s="4" t="s">
        <v>115</v>
      </c>
      <c r="J21" s="5" t="s">
        <v>110</v>
      </c>
      <c r="K21" s="5" t="s">
        <v>111</v>
      </c>
      <c r="L21" s="8" t="s">
        <v>116</v>
      </c>
    </row>
    <row r="22" spans="1:12" s="6" customFormat="1" x14ac:dyDescent="0.3">
      <c r="A22" s="4" t="s">
        <v>117</v>
      </c>
      <c r="B22" s="4" t="s">
        <v>117</v>
      </c>
      <c r="C22" s="5" t="s">
        <v>231</v>
      </c>
      <c r="D22" s="4" t="s">
        <v>118</v>
      </c>
      <c r="E22" s="5">
        <v>2</v>
      </c>
      <c r="F22" s="5">
        <f t="shared" si="0"/>
        <v>10</v>
      </c>
      <c r="G22" s="4" t="s">
        <v>119</v>
      </c>
      <c r="H22" s="4" t="s">
        <v>120</v>
      </c>
      <c r="I22" s="4" t="s">
        <v>121</v>
      </c>
      <c r="J22" s="5" t="s">
        <v>110</v>
      </c>
      <c r="K22" s="5" t="s">
        <v>111</v>
      </c>
      <c r="L22" s="8" t="s">
        <v>122</v>
      </c>
    </row>
    <row r="23" spans="1:12" s="6" customFormat="1" x14ac:dyDescent="0.3">
      <c r="A23" s="4" t="s">
        <v>123</v>
      </c>
      <c r="B23" s="4" t="s">
        <v>123</v>
      </c>
      <c r="C23" s="5" t="s">
        <v>106</v>
      </c>
      <c r="D23" s="4" t="s">
        <v>124</v>
      </c>
      <c r="E23" s="5">
        <v>1</v>
      </c>
      <c r="F23" s="5">
        <f t="shared" si="0"/>
        <v>5</v>
      </c>
      <c r="G23" s="4" t="s">
        <v>125</v>
      </c>
      <c r="H23" s="4" t="s">
        <v>126</v>
      </c>
      <c r="I23" s="4" t="s">
        <v>127</v>
      </c>
      <c r="J23" s="5" t="s">
        <v>110</v>
      </c>
      <c r="K23" s="5" t="s">
        <v>111</v>
      </c>
      <c r="L23" s="8" t="s">
        <v>128</v>
      </c>
    </row>
    <row r="24" spans="1:12" s="6" customFormat="1" x14ac:dyDescent="0.3">
      <c r="A24" s="4" t="s">
        <v>129</v>
      </c>
      <c r="B24" s="4" t="s">
        <v>129</v>
      </c>
      <c r="C24" s="5" t="s">
        <v>164</v>
      </c>
      <c r="D24" s="4" t="s">
        <v>130</v>
      </c>
      <c r="E24" s="5">
        <v>91</v>
      </c>
      <c r="F24" s="5">
        <f t="shared" si="0"/>
        <v>455</v>
      </c>
      <c r="G24" s="4" t="s">
        <v>131</v>
      </c>
      <c r="H24" s="4" t="s">
        <v>132</v>
      </c>
      <c r="I24" s="4" t="s">
        <v>133</v>
      </c>
      <c r="J24" s="5" t="s">
        <v>110</v>
      </c>
      <c r="K24" s="5" t="s">
        <v>111</v>
      </c>
      <c r="L24" s="8" t="s">
        <v>134</v>
      </c>
    </row>
    <row r="25" spans="1:12" s="6" customFormat="1" x14ac:dyDescent="0.3">
      <c r="A25" s="4" t="s">
        <v>135</v>
      </c>
      <c r="B25" s="4" t="s">
        <v>135</v>
      </c>
      <c r="C25" s="5" t="s">
        <v>164</v>
      </c>
      <c r="D25" s="4" t="s">
        <v>136</v>
      </c>
      <c r="E25" s="5">
        <v>114</v>
      </c>
      <c r="F25" s="5">
        <f t="shared" si="0"/>
        <v>570</v>
      </c>
      <c r="G25" s="4" t="s">
        <v>137</v>
      </c>
      <c r="H25" s="4" t="s">
        <v>138</v>
      </c>
      <c r="I25" s="4" t="s">
        <v>133</v>
      </c>
      <c r="J25" s="5" t="s">
        <v>110</v>
      </c>
      <c r="K25" s="5" t="s">
        <v>111</v>
      </c>
      <c r="L25" s="8" t="s">
        <v>139</v>
      </c>
    </row>
    <row r="26" spans="1:12" s="6" customFormat="1" x14ac:dyDescent="0.3">
      <c r="A26" s="4" t="s">
        <v>129</v>
      </c>
      <c r="B26" s="4" t="s">
        <v>129</v>
      </c>
      <c r="C26" s="5" t="s">
        <v>164</v>
      </c>
      <c r="D26" s="4" t="s">
        <v>130</v>
      </c>
      <c r="E26" s="5">
        <v>3</v>
      </c>
      <c r="F26" s="5">
        <f t="shared" si="0"/>
        <v>15</v>
      </c>
      <c r="G26" s="4" t="s">
        <v>140</v>
      </c>
      <c r="H26" s="4" t="s">
        <v>132</v>
      </c>
      <c r="I26" s="4" t="s">
        <v>133</v>
      </c>
      <c r="J26" s="5" t="s">
        <v>110</v>
      </c>
      <c r="K26" s="5" t="s">
        <v>111</v>
      </c>
      <c r="L26" s="8" t="s">
        <v>134</v>
      </c>
    </row>
    <row r="27" spans="1:12" s="6" customFormat="1" x14ac:dyDescent="0.3">
      <c r="A27" s="4" t="s">
        <v>141</v>
      </c>
      <c r="B27" s="4" t="s">
        <v>141</v>
      </c>
      <c r="C27" s="5" t="s">
        <v>164</v>
      </c>
      <c r="D27" s="4" t="s">
        <v>142</v>
      </c>
      <c r="E27" s="5">
        <v>2</v>
      </c>
      <c r="F27" s="5">
        <f t="shared" si="0"/>
        <v>10</v>
      </c>
      <c r="G27" s="4" t="s">
        <v>143</v>
      </c>
      <c r="H27" s="4" t="s">
        <v>144</v>
      </c>
      <c r="I27" s="4" t="s">
        <v>145</v>
      </c>
      <c r="J27" s="5" t="s">
        <v>110</v>
      </c>
      <c r="K27" s="5" t="s">
        <v>111</v>
      </c>
      <c r="L27" s="8" t="s">
        <v>146</v>
      </c>
    </row>
    <row r="28" spans="1:12" s="6" customFormat="1" x14ac:dyDescent="0.3">
      <c r="A28" s="4" t="s">
        <v>147</v>
      </c>
      <c r="B28" s="4" t="s">
        <v>147</v>
      </c>
      <c r="C28" s="5" t="s">
        <v>164</v>
      </c>
      <c r="D28" s="4" t="s">
        <v>148</v>
      </c>
      <c r="E28" s="5">
        <v>3</v>
      </c>
      <c r="F28" s="5">
        <f t="shared" si="0"/>
        <v>15</v>
      </c>
      <c r="G28" s="4" t="s">
        <v>149</v>
      </c>
      <c r="H28" s="4" t="s">
        <v>150</v>
      </c>
      <c r="I28" s="4" t="s">
        <v>151</v>
      </c>
      <c r="J28" s="5" t="s">
        <v>110</v>
      </c>
      <c r="K28" s="5" t="s">
        <v>111</v>
      </c>
      <c r="L28" s="8" t="s">
        <v>152</v>
      </c>
    </row>
    <row r="29" spans="1:12" s="6" customFormat="1" x14ac:dyDescent="0.3">
      <c r="A29" s="4" t="s">
        <v>153</v>
      </c>
      <c r="B29" s="4" t="s">
        <v>153</v>
      </c>
      <c r="C29" s="5" t="s">
        <v>164</v>
      </c>
      <c r="D29" s="4" t="s">
        <v>154</v>
      </c>
      <c r="E29" s="5">
        <v>2</v>
      </c>
      <c r="F29" s="5">
        <f t="shared" si="0"/>
        <v>10</v>
      </c>
      <c r="G29" s="4" t="s">
        <v>155</v>
      </c>
      <c r="H29" s="4" t="s">
        <v>156</v>
      </c>
      <c r="I29" s="4" t="s">
        <v>145</v>
      </c>
      <c r="J29" s="5" t="s">
        <v>110</v>
      </c>
      <c r="K29" s="5" t="s">
        <v>111</v>
      </c>
      <c r="L29" s="8" t="s">
        <v>157</v>
      </c>
    </row>
    <row r="30" spans="1:12" s="6" customFormat="1" x14ac:dyDescent="0.3">
      <c r="A30" s="4" t="s">
        <v>158</v>
      </c>
      <c r="B30" s="4" t="s">
        <v>158</v>
      </c>
      <c r="C30" s="5" t="s">
        <v>164</v>
      </c>
      <c r="D30" s="4" t="s">
        <v>159</v>
      </c>
      <c r="E30" s="5">
        <v>4</v>
      </c>
      <c r="F30" s="5">
        <f t="shared" si="0"/>
        <v>20</v>
      </c>
      <c r="G30" s="4" t="s">
        <v>160</v>
      </c>
      <c r="H30" s="4" t="s">
        <v>161</v>
      </c>
      <c r="I30" s="4" t="s">
        <v>133</v>
      </c>
      <c r="J30" s="5" t="s">
        <v>110</v>
      </c>
      <c r="K30" s="5" t="s">
        <v>111</v>
      </c>
      <c r="L30" s="8" t="s">
        <v>162</v>
      </c>
    </row>
    <row r="31" spans="1:12" s="6" customFormat="1" x14ac:dyDescent="0.3">
      <c r="A31" s="4" t="s">
        <v>163</v>
      </c>
      <c r="B31" s="4" t="s">
        <v>163</v>
      </c>
      <c r="C31" s="5" t="s">
        <v>164</v>
      </c>
      <c r="D31" s="4" t="s">
        <v>165</v>
      </c>
      <c r="E31" s="5">
        <v>1</v>
      </c>
      <c r="F31" s="5">
        <f t="shared" si="0"/>
        <v>5</v>
      </c>
      <c r="G31" s="4" t="s">
        <v>166</v>
      </c>
      <c r="H31" s="4" t="s">
        <v>167</v>
      </c>
      <c r="I31" s="4" t="s">
        <v>151</v>
      </c>
      <c r="J31" s="5" t="s">
        <v>110</v>
      </c>
      <c r="K31" s="5" t="s">
        <v>111</v>
      </c>
      <c r="L31" s="8" t="s">
        <v>168</v>
      </c>
    </row>
    <row r="32" spans="1:12" s="6" customFormat="1" x14ac:dyDescent="0.3">
      <c r="A32" s="4" t="s">
        <v>169</v>
      </c>
      <c r="B32" s="4" t="s">
        <v>169</v>
      </c>
      <c r="C32" s="5" t="s">
        <v>164</v>
      </c>
      <c r="D32" s="4" t="s">
        <v>170</v>
      </c>
      <c r="E32" s="5">
        <v>1</v>
      </c>
      <c r="F32" s="5">
        <f t="shared" si="0"/>
        <v>5</v>
      </c>
      <c r="G32" s="4" t="s">
        <v>171</v>
      </c>
      <c r="H32" s="4" t="s">
        <v>172</v>
      </c>
      <c r="I32" s="4" t="s">
        <v>145</v>
      </c>
      <c r="J32" s="5" t="s">
        <v>110</v>
      </c>
      <c r="K32" s="5" t="s">
        <v>111</v>
      </c>
      <c r="L32" s="8" t="s">
        <v>173</v>
      </c>
    </row>
    <row r="33" spans="1:12" s="6" customFormat="1" x14ac:dyDescent="0.3">
      <c r="A33" s="4" t="s">
        <v>174</v>
      </c>
      <c r="B33" s="4" t="s">
        <v>174</v>
      </c>
      <c r="C33" s="5" t="s">
        <v>164</v>
      </c>
      <c r="D33" s="4" t="s">
        <v>175</v>
      </c>
      <c r="E33" s="5">
        <v>2</v>
      </c>
      <c r="F33" s="5">
        <f t="shared" si="0"/>
        <v>10</v>
      </c>
      <c r="G33" s="4" t="s">
        <v>176</v>
      </c>
      <c r="H33" s="4" t="s">
        <v>177</v>
      </c>
      <c r="I33" s="4" t="s">
        <v>145</v>
      </c>
      <c r="J33" s="5" t="s">
        <v>110</v>
      </c>
      <c r="K33" s="5" t="s">
        <v>111</v>
      </c>
      <c r="L33" s="8" t="s">
        <v>178</v>
      </c>
    </row>
    <row r="34" spans="1:12" s="6" customFormat="1" x14ac:dyDescent="0.3">
      <c r="A34" s="4" t="s">
        <v>179</v>
      </c>
      <c r="B34" s="4" t="s">
        <v>179</v>
      </c>
      <c r="C34" s="5" t="s">
        <v>164</v>
      </c>
      <c r="D34" s="4" t="s">
        <v>180</v>
      </c>
      <c r="E34" s="5">
        <v>1</v>
      </c>
      <c r="F34" s="5">
        <f t="shared" si="0"/>
        <v>5</v>
      </c>
      <c r="G34" s="4" t="s">
        <v>181</v>
      </c>
      <c r="H34" s="4" t="s">
        <v>182</v>
      </c>
      <c r="I34" s="4" t="s">
        <v>145</v>
      </c>
      <c r="J34" s="5" t="s">
        <v>110</v>
      </c>
      <c r="K34" s="5" t="s">
        <v>111</v>
      </c>
      <c r="L34" s="8" t="s">
        <v>183</v>
      </c>
    </row>
    <row r="35" spans="1:12" s="6" customFormat="1" x14ac:dyDescent="0.3">
      <c r="A35" s="4" t="s">
        <v>184</v>
      </c>
      <c r="B35" s="4" t="s">
        <v>184</v>
      </c>
      <c r="C35" s="5" t="s">
        <v>164</v>
      </c>
      <c r="D35" s="4" t="s">
        <v>185</v>
      </c>
      <c r="E35" s="5">
        <v>1</v>
      </c>
      <c r="F35" s="5">
        <f t="shared" si="0"/>
        <v>5</v>
      </c>
      <c r="G35" s="4" t="s">
        <v>186</v>
      </c>
      <c r="H35" s="4" t="s">
        <v>187</v>
      </c>
      <c r="I35" s="4" t="s">
        <v>18</v>
      </c>
      <c r="J35" s="5" t="s">
        <v>110</v>
      </c>
      <c r="K35" s="5" t="s">
        <v>111</v>
      </c>
      <c r="L35" s="8" t="s">
        <v>188</v>
      </c>
    </row>
    <row r="36" spans="1:12" s="6" customFormat="1" x14ac:dyDescent="0.3">
      <c r="A36" s="4" t="s">
        <v>189</v>
      </c>
      <c r="B36" s="4" t="s">
        <v>189</v>
      </c>
      <c r="C36" s="5" t="s">
        <v>164</v>
      </c>
      <c r="D36" s="4" t="s">
        <v>190</v>
      </c>
      <c r="E36" s="5">
        <v>1</v>
      </c>
      <c r="F36" s="5">
        <f t="shared" si="0"/>
        <v>5</v>
      </c>
      <c r="G36" s="4" t="s">
        <v>191</v>
      </c>
      <c r="H36" s="4" t="s">
        <v>192</v>
      </c>
      <c r="I36" s="4" t="s">
        <v>193</v>
      </c>
      <c r="J36" s="5" t="s">
        <v>110</v>
      </c>
      <c r="K36" s="5" t="s">
        <v>111</v>
      </c>
      <c r="L36" s="8" t="s">
        <v>194</v>
      </c>
    </row>
    <row r="37" spans="1:12" s="6" customFormat="1" x14ac:dyDescent="0.3">
      <c r="A37" s="4" t="s">
        <v>195</v>
      </c>
      <c r="B37" s="4" t="s">
        <v>195</v>
      </c>
      <c r="C37" s="4" t="s">
        <v>196</v>
      </c>
      <c r="D37" s="4" t="s">
        <v>197</v>
      </c>
      <c r="E37" s="5">
        <v>1</v>
      </c>
      <c r="F37" s="5">
        <f t="shared" si="0"/>
        <v>5</v>
      </c>
      <c r="G37" s="4" t="s">
        <v>198</v>
      </c>
      <c r="H37" s="4" t="s">
        <v>195</v>
      </c>
      <c r="I37" s="4" t="s">
        <v>199</v>
      </c>
      <c r="J37" s="5" t="s">
        <v>110</v>
      </c>
      <c r="K37" s="5" t="s">
        <v>111</v>
      </c>
      <c r="L37" s="8" t="s">
        <v>200</v>
      </c>
    </row>
    <row r="38" spans="1:12" s="6" customFormat="1" x14ac:dyDescent="0.3">
      <c r="A38" s="4" t="s">
        <v>201</v>
      </c>
      <c r="B38" s="4" t="s">
        <v>201</v>
      </c>
      <c r="C38" s="4" t="s">
        <v>202</v>
      </c>
      <c r="D38" s="4" t="s">
        <v>203</v>
      </c>
      <c r="E38" s="5">
        <v>13</v>
      </c>
      <c r="F38" s="5">
        <f t="shared" si="0"/>
        <v>65</v>
      </c>
      <c r="G38" s="4" t="s">
        <v>204</v>
      </c>
      <c r="H38" s="4" t="s">
        <v>205</v>
      </c>
      <c r="I38" s="4" t="s">
        <v>206</v>
      </c>
      <c r="J38" s="5" t="s">
        <v>110</v>
      </c>
      <c r="K38" s="5" t="s">
        <v>111</v>
      </c>
      <c r="L38" s="8" t="s">
        <v>207</v>
      </c>
    </row>
    <row r="39" spans="1:12" s="6" customFormat="1" x14ac:dyDescent="0.3">
      <c r="A39" s="4" t="s">
        <v>208</v>
      </c>
      <c r="B39" s="4" t="s">
        <v>208</v>
      </c>
      <c r="C39" s="4" t="s">
        <v>202</v>
      </c>
      <c r="D39" s="4" t="s">
        <v>209</v>
      </c>
      <c r="E39" s="5">
        <v>1</v>
      </c>
      <c r="F39" s="5">
        <f t="shared" si="0"/>
        <v>5</v>
      </c>
      <c r="G39" s="4" t="s">
        <v>210</v>
      </c>
      <c r="H39" s="4" t="s">
        <v>211</v>
      </c>
      <c r="I39" s="4" t="s">
        <v>212</v>
      </c>
      <c r="J39" s="5" t="s">
        <v>110</v>
      </c>
      <c r="K39" s="5" t="s">
        <v>111</v>
      </c>
      <c r="L39" s="8" t="s">
        <v>213</v>
      </c>
    </row>
    <row r="40" spans="1:12" s="6" customFormat="1" x14ac:dyDescent="0.3">
      <c r="A40" s="4" t="s">
        <v>214</v>
      </c>
      <c r="B40" s="4" t="s">
        <v>214</v>
      </c>
      <c r="C40" s="4" t="s">
        <v>202</v>
      </c>
      <c r="D40" s="4" t="s">
        <v>215</v>
      </c>
      <c r="E40" s="5">
        <v>1</v>
      </c>
      <c r="F40" s="5">
        <f t="shared" si="0"/>
        <v>5</v>
      </c>
      <c r="G40" s="4" t="s">
        <v>216</v>
      </c>
      <c r="H40" s="4" t="s">
        <v>214</v>
      </c>
      <c r="I40" s="4" t="s">
        <v>212</v>
      </c>
      <c r="J40" s="5" t="s">
        <v>110</v>
      </c>
      <c r="K40" s="5" t="s">
        <v>111</v>
      </c>
      <c r="L40" s="8" t="s">
        <v>217</v>
      </c>
    </row>
    <row r="41" spans="1:12" s="6" customFormat="1" x14ac:dyDescent="0.3">
      <c r="A41" s="4" t="s">
        <v>218</v>
      </c>
      <c r="B41" s="4" t="s">
        <v>218</v>
      </c>
      <c r="C41" s="4" t="s">
        <v>202</v>
      </c>
      <c r="D41" s="4" t="s">
        <v>219</v>
      </c>
      <c r="E41" s="5">
        <v>1</v>
      </c>
      <c r="F41" s="5">
        <f t="shared" si="0"/>
        <v>5</v>
      </c>
      <c r="G41" s="4" t="s">
        <v>220</v>
      </c>
      <c r="H41" s="5" t="s">
        <v>236</v>
      </c>
      <c r="I41" s="5" t="s">
        <v>237</v>
      </c>
      <c r="J41" s="5" t="s">
        <v>110</v>
      </c>
      <c r="K41" s="5" t="s">
        <v>111</v>
      </c>
      <c r="L41" s="9" t="s">
        <v>238</v>
      </c>
    </row>
    <row r="42" spans="1:12" s="6" customFormat="1" x14ac:dyDescent="0.3">
      <c r="A42" s="4" t="s">
        <v>221</v>
      </c>
      <c r="B42" s="5" t="s">
        <v>248</v>
      </c>
      <c r="C42" s="5" t="s">
        <v>233</v>
      </c>
      <c r="D42" s="5"/>
      <c r="E42" s="5">
        <v>1</v>
      </c>
      <c r="F42" s="5">
        <f t="shared" si="0"/>
        <v>5</v>
      </c>
      <c r="G42" s="4" t="s">
        <v>222</v>
      </c>
      <c r="H42" s="5" t="s">
        <v>248</v>
      </c>
      <c r="I42" s="5" t="s">
        <v>247</v>
      </c>
      <c r="J42" s="5" t="s">
        <v>110</v>
      </c>
      <c r="K42" s="5" t="s">
        <v>111</v>
      </c>
      <c r="L42" s="9" t="s">
        <v>246</v>
      </c>
    </row>
    <row r="43" spans="1:12" s="6" customFormat="1" x14ac:dyDescent="0.3">
      <c r="A43" s="4" t="s">
        <v>223</v>
      </c>
      <c r="B43" s="4" t="s">
        <v>223</v>
      </c>
      <c r="C43" s="5" t="s">
        <v>234</v>
      </c>
      <c r="D43" s="4" t="s">
        <v>224</v>
      </c>
      <c r="E43" s="5">
        <v>1</v>
      </c>
      <c r="F43" s="5">
        <f t="shared" si="0"/>
        <v>5</v>
      </c>
      <c r="G43" s="4" t="s">
        <v>225</v>
      </c>
      <c r="H43" s="4" t="s">
        <v>226</v>
      </c>
      <c r="I43" s="4" t="s">
        <v>227</v>
      </c>
      <c r="J43" s="5" t="s">
        <v>110</v>
      </c>
      <c r="K43" s="5" t="s">
        <v>111</v>
      </c>
      <c r="L43" s="8" t="s">
        <v>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TG21_mach_nut_nhan _V1_ReV</vt:lpstr>
      <vt:lpstr>'TG21_mach_nut_nhan _V1_ReV'!Print_Titles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2026-05-16T09:23:14Z</dcterms:created>
  <dcterms:modified xsi:type="dcterms:W3CDTF">2026-05-16T10:07:56Z</dcterms:modified>
</cp:coreProperties>
</file>